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/Documents/Sexto semestre/Taller de manejo/"/>
    </mc:Choice>
  </mc:AlternateContent>
  <xr:revisionPtr revIDLastSave="0" documentId="13_ncr:1_{DCF48FB4-D97A-1B48-AD4C-CDDA5EB35A34}" xr6:coauthVersionLast="47" xr6:coauthVersionMax="47" xr10:uidLastSave="{00000000-0000-0000-0000-000000000000}"/>
  <bookViews>
    <workbookView xWindow="0" yWindow="500" windowWidth="33600" windowHeight="20500" activeTab="4" xr2:uid="{B2606EEC-8DC8-844A-BC17-2D014A25BE3C}"/>
  </bookViews>
  <sheets>
    <sheet name="YUCATAN" sheetId="1" r:id="rId1"/>
    <sheet name="CAMPECHE" sheetId="2" r:id="rId2"/>
    <sheet name="QROO" sheetId="3" r:id="rId3"/>
    <sheet name="CONCENTRADO" sheetId="4" r:id="rId4"/>
    <sheet name="SUBTOTALE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D15" i="6"/>
  <c r="E15" i="6"/>
  <c r="F15" i="6"/>
  <c r="C16" i="6"/>
  <c r="D16" i="6"/>
  <c r="D18" i="6" s="1"/>
  <c r="E16" i="6"/>
  <c r="F16" i="6"/>
  <c r="F18" i="6" s="1"/>
  <c r="C17" i="6"/>
  <c r="D17" i="6"/>
  <c r="E17" i="6"/>
  <c r="F17" i="6"/>
  <c r="C18" i="6"/>
  <c r="E18" i="6"/>
  <c r="C19" i="6"/>
  <c r="D19" i="6"/>
  <c r="E19" i="6"/>
  <c r="F19" i="6"/>
  <c r="C20" i="6"/>
  <c r="D20" i="6"/>
  <c r="E20" i="6"/>
  <c r="F20" i="6"/>
  <c r="C21" i="6"/>
  <c r="D21" i="6"/>
  <c r="E21" i="6"/>
  <c r="F21" i="6"/>
  <c r="C22" i="6"/>
  <c r="D22" i="6"/>
  <c r="E22" i="6"/>
  <c r="F22" i="6"/>
  <c r="C23" i="6"/>
  <c r="D23" i="6"/>
  <c r="E23" i="6"/>
  <c r="F23" i="6"/>
  <c r="C24" i="6"/>
  <c r="D24" i="6"/>
  <c r="E24" i="6"/>
  <c r="F24" i="6"/>
  <c r="C25" i="6"/>
  <c r="D25" i="6"/>
  <c r="E25" i="6"/>
  <c r="F25" i="6"/>
  <c r="C26" i="6"/>
  <c r="D26" i="6"/>
  <c r="E26" i="6"/>
  <c r="F26" i="6"/>
  <c r="C27" i="6"/>
  <c r="D27" i="6"/>
  <c r="E27" i="6"/>
  <c r="F27" i="6"/>
  <c r="C28" i="6"/>
  <c r="D28" i="6"/>
  <c r="E28" i="6"/>
  <c r="F28" i="6"/>
  <c r="C29" i="6"/>
  <c r="D29" i="6"/>
  <c r="E29" i="6"/>
  <c r="F29" i="6"/>
  <c r="C30" i="6"/>
  <c r="D30" i="6"/>
  <c r="E30" i="6"/>
  <c r="F30" i="6"/>
  <c r="C31" i="6"/>
  <c r="D31" i="6"/>
  <c r="E31" i="6"/>
  <c r="F31" i="6"/>
  <c r="C32" i="6"/>
  <c r="C34" i="6" s="1"/>
  <c r="D32" i="6"/>
  <c r="E32" i="6"/>
  <c r="F32" i="6"/>
  <c r="C33" i="6"/>
  <c r="D33" i="6"/>
  <c r="E33" i="6"/>
  <c r="F33" i="6"/>
  <c r="D34" i="6"/>
  <c r="E34" i="6"/>
  <c r="F34" i="6"/>
  <c r="C35" i="6"/>
  <c r="D35" i="6"/>
  <c r="E35" i="6"/>
  <c r="F35" i="6"/>
  <c r="C36" i="6"/>
  <c r="C38" i="6" s="1"/>
  <c r="D36" i="6"/>
  <c r="D38" i="6" s="1"/>
  <c r="E36" i="6"/>
  <c r="F36" i="6"/>
  <c r="C37" i="6"/>
  <c r="D37" i="6"/>
  <c r="E37" i="6"/>
  <c r="F37" i="6"/>
  <c r="E38" i="6"/>
  <c r="F38" i="6"/>
  <c r="C39" i="6"/>
  <c r="D39" i="6"/>
  <c r="E39" i="6"/>
  <c r="F39" i="6"/>
  <c r="C40" i="6"/>
  <c r="D40" i="6"/>
  <c r="D42" i="6" s="1"/>
  <c r="E40" i="6"/>
  <c r="E42" i="6" s="1"/>
  <c r="F40" i="6"/>
  <c r="F42" i="6" s="1"/>
  <c r="C41" i="6"/>
  <c r="D41" i="6"/>
  <c r="E41" i="6"/>
  <c r="F41" i="6"/>
  <c r="C42" i="6"/>
  <c r="B24" i="4"/>
  <c r="B25" i="4"/>
  <c r="B26" i="4"/>
  <c r="B27" i="4"/>
  <c r="B28" i="4"/>
  <c r="C20" i="4"/>
  <c r="D20" i="4"/>
  <c r="E15" i="4"/>
  <c r="E16" i="4"/>
  <c r="E17" i="4"/>
  <c r="E18" i="4"/>
  <c r="E19" i="4"/>
  <c r="C14" i="4"/>
  <c r="D14" i="4"/>
  <c r="C15" i="4"/>
  <c r="D15" i="4"/>
  <c r="C16" i="4"/>
  <c r="D16" i="4"/>
  <c r="C17" i="4"/>
  <c r="D17" i="4"/>
  <c r="C18" i="4"/>
  <c r="D18" i="4"/>
  <c r="C19" i="4"/>
  <c r="D19" i="4"/>
  <c r="B15" i="4"/>
  <c r="B16" i="4"/>
  <c r="B17" i="4"/>
  <c r="B18" i="4"/>
  <c r="B19" i="4"/>
  <c r="B14" i="4"/>
  <c r="E14" i="4" s="1"/>
  <c r="B6" i="4"/>
  <c r="B7" i="4"/>
  <c r="B8" i="4"/>
  <c r="B9" i="4"/>
  <c r="B10" i="4"/>
  <c r="B11" i="1"/>
  <c r="E11" i="1" s="1"/>
  <c r="B11" i="4" s="1"/>
  <c r="B11" i="3"/>
  <c r="B11" i="2"/>
  <c r="C11" i="1"/>
  <c r="C11" i="3"/>
  <c r="C11" i="2"/>
  <c r="D11" i="1"/>
  <c r="D11" i="3"/>
  <c r="D11" i="2"/>
  <c r="E5" i="1"/>
  <c r="B5" i="4" s="1"/>
  <c r="E5" i="3"/>
  <c r="E5" i="2"/>
  <c r="E6" i="1"/>
  <c r="E6" i="3"/>
  <c r="E6" i="2"/>
  <c r="E7" i="1"/>
  <c r="E7" i="3"/>
  <c r="E7" i="2"/>
  <c r="E8" i="1"/>
  <c r="E8" i="3"/>
  <c r="E8" i="2"/>
  <c r="E9" i="1"/>
  <c r="E9" i="3"/>
  <c r="E9" i="2"/>
  <c r="E10" i="1"/>
  <c r="E10" i="3"/>
  <c r="E10" i="2"/>
  <c r="E11" i="3"/>
  <c r="E11" i="2"/>
  <c r="B20" i="4" l="1"/>
  <c r="B23" i="4"/>
  <c r="B29" i="4"/>
  <c r="E20" i="4"/>
</calcChain>
</file>

<file path=xl/sharedStrings.xml><?xml version="1.0" encoding="utf-8"?>
<sst xmlns="http://schemas.openxmlformats.org/spreadsheetml/2006/main" count="118" uniqueCount="15">
  <si>
    <t>REPORTE DE VENTAS</t>
  </si>
  <si>
    <t>LA CHAPARRITA</t>
  </si>
  <si>
    <t>PRODUCTO</t>
  </si>
  <si>
    <t>ENERO</t>
  </si>
  <si>
    <t>FEBRERO</t>
  </si>
  <si>
    <t>MARZO</t>
  </si>
  <si>
    <t>TOTAL</t>
  </si>
  <si>
    <t>CHOCOLATE</t>
  </si>
  <si>
    <t>CACAHUATE</t>
  </si>
  <si>
    <t>FRESAS</t>
  </si>
  <si>
    <t>CHAMOYADA</t>
  </si>
  <si>
    <t>MALANGAS</t>
  </si>
  <si>
    <t>GOMITAS</t>
  </si>
  <si>
    <t>REPORTE DE VENTAS POR ZONA</t>
  </si>
  <si>
    <t>Zona1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</si>
</sst>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4FFD-BE40-E34A-8769-A9A4E294512E}">
  <dimension ref="A1:E11"/>
  <sheetViews>
    <sheetView zoomScale="181" zoomScaleNormal="181" workbookViewId="0">
      <selection activeCell="B5" sqref="B5"/>
    </sheetView>
  </sheetViews>
  <sheetFormatPr baseColWidth="10" defaultRowHeight="16" x14ac:dyDescent="0.2"/>
  <cols>
    <col min="1" max="1" width="12" customWidth="1"/>
  </cols>
  <sheetData>
    <row r="1" spans="1:5" ht="22" x14ac:dyDescent="0.3">
      <c r="A1" s="4" t="s">
        <v>0</v>
      </c>
      <c r="B1" s="4"/>
      <c r="C1" s="4"/>
      <c r="D1" s="4"/>
      <c r="E1" s="4"/>
    </row>
    <row r="2" spans="1:5" x14ac:dyDescent="0.2">
      <c r="A2" s="3" t="s">
        <v>1</v>
      </c>
      <c r="B2" s="3"/>
      <c r="C2" s="3"/>
      <c r="D2" s="3"/>
      <c r="E2" s="3"/>
    </row>
    <row r="4" spans="1: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">
      <c r="A5" s="2" t="s">
        <v>7</v>
      </c>
      <c r="B5" s="1">
        <v>1000</v>
      </c>
      <c r="C5" s="1">
        <v>20</v>
      </c>
      <c r="D5" s="1">
        <v>30</v>
      </c>
      <c r="E5" s="1">
        <f>SUM(B5:D5)</f>
        <v>1050</v>
      </c>
    </row>
    <row r="6" spans="1:5" x14ac:dyDescent="0.2">
      <c r="A6" s="2" t="s">
        <v>8</v>
      </c>
      <c r="B6" s="1">
        <v>10</v>
      </c>
      <c r="C6" s="1">
        <v>20</v>
      </c>
      <c r="D6" s="1">
        <v>30</v>
      </c>
      <c r="E6" s="1">
        <f>SUM(B6:D6)</f>
        <v>60</v>
      </c>
    </row>
    <row r="7" spans="1:5" x14ac:dyDescent="0.2">
      <c r="A7" s="2" t="s">
        <v>9</v>
      </c>
      <c r="B7" s="1">
        <v>10</v>
      </c>
      <c r="C7" s="1">
        <v>20</v>
      </c>
      <c r="D7" s="1">
        <v>30</v>
      </c>
      <c r="E7" s="1">
        <f>SUM(B7:D7)</f>
        <v>60</v>
      </c>
    </row>
    <row r="8" spans="1:5" x14ac:dyDescent="0.2">
      <c r="A8" s="2" t="s">
        <v>10</v>
      </c>
      <c r="B8" s="1">
        <v>10</v>
      </c>
      <c r="C8" s="1">
        <v>20</v>
      </c>
      <c r="D8" s="1">
        <v>30</v>
      </c>
      <c r="E8" s="1">
        <f>SUM(B8:D8)</f>
        <v>60</v>
      </c>
    </row>
    <row r="9" spans="1:5" x14ac:dyDescent="0.2">
      <c r="A9" s="2" t="s">
        <v>11</v>
      </c>
      <c r="B9" s="1">
        <v>10</v>
      </c>
      <c r="C9" s="1">
        <v>20</v>
      </c>
      <c r="D9" s="1">
        <v>30</v>
      </c>
      <c r="E9" s="1">
        <f>SUM(B9:D9)</f>
        <v>60</v>
      </c>
    </row>
    <row r="10" spans="1:5" x14ac:dyDescent="0.2">
      <c r="A10" s="2" t="s">
        <v>12</v>
      </c>
      <c r="B10" s="1">
        <v>10</v>
      </c>
      <c r="C10" s="1">
        <v>20</v>
      </c>
      <c r="D10" s="1">
        <v>30</v>
      </c>
      <c r="E10" s="1">
        <f>SUM(B10:D10)</f>
        <v>60</v>
      </c>
    </row>
    <row r="11" spans="1:5" x14ac:dyDescent="0.2">
      <c r="A11" s="2" t="s">
        <v>6</v>
      </c>
      <c r="B11" s="1">
        <f>SUM(B5:B10)</f>
        <v>1050</v>
      </c>
      <c r="C11" s="1">
        <f>SUM(C5:C10)</f>
        <v>120</v>
      </c>
      <c r="D11" s="1">
        <f>SUM(D5:D10)</f>
        <v>180</v>
      </c>
      <c r="E11" s="1">
        <f>SUM(B11:D11)</f>
        <v>1350</v>
      </c>
    </row>
  </sheetData>
  <mergeCells count="2">
    <mergeCell ref="A1:E1"/>
    <mergeCell ref="A2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A94A-16DD-6444-8715-E7931D3FEA93}">
  <dimension ref="A1:E11"/>
  <sheetViews>
    <sheetView zoomScale="181" zoomScaleNormal="181" workbookViewId="0">
      <selection activeCell="C16" sqref="C16"/>
    </sheetView>
  </sheetViews>
  <sheetFormatPr baseColWidth="10" defaultRowHeight="16" x14ac:dyDescent="0.2"/>
  <cols>
    <col min="1" max="1" width="12" customWidth="1"/>
  </cols>
  <sheetData>
    <row r="1" spans="1:5" ht="22" x14ac:dyDescent="0.3">
      <c r="A1" s="4" t="s">
        <v>0</v>
      </c>
      <c r="B1" s="4"/>
      <c r="C1" s="4"/>
      <c r="D1" s="4"/>
      <c r="E1" s="4"/>
    </row>
    <row r="2" spans="1:5" x14ac:dyDescent="0.2">
      <c r="A2" s="3" t="s">
        <v>1</v>
      </c>
      <c r="B2" s="3"/>
      <c r="C2" s="3"/>
      <c r="D2" s="3"/>
      <c r="E2" s="3"/>
    </row>
    <row r="4" spans="1: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">
      <c r="A5" s="2" t="s">
        <v>7</v>
      </c>
      <c r="B5" s="1">
        <v>40</v>
      </c>
      <c r="C5" s="1">
        <v>50</v>
      </c>
      <c r="D5" s="1">
        <v>60</v>
      </c>
      <c r="E5" s="1">
        <f>SUM(B5:D5)</f>
        <v>150</v>
      </c>
    </row>
    <row r="6" spans="1:5" x14ac:dyDescent="0.2">
      <c r="A6" s="2" t="s">
        <v>8</v>
      </c>
      <c r="B6" s="1">
        <v>40</v>
      </c>
      <c r="C6" s="1">
        <v>50</v>
      </c>
      <c r="D6" s="1">
        <v>60</v>
      </c>
      <c r="E6" s="1">
        <f>SUM(B6:D6)</f>
        <v>150</v>
      </c>
    </row>
    <row r="7" spans="1:5" x14ac:dyDescent="0.2">
      <c r="A7" s="2" t="s">
        <v>9</v>
      </c>
      <c r="B7" s="1">
        <v>40</v>
      </c>
      <c r="C7" s="1">
        <v>50</v>
      </c>
      <c r="D7" s="1">
        <v>60</v>
      </c>
      <c r="E7" s="1">
        <f>SUM(B7:D7)</f>
        <v>150</v>
      </c>
    </row>
    <row r="8" spans="1:5" x14ac:dyDescent="0.2">
      <c r="A8" s="2" t="s">
        <v>10</v>
      </c>
      <c r="B8" s="1">
        <v>40</v>
      </c>
      <c r="C8" s="1">
        <v>50</v>
      </c>
      <c r="D8" s="1">
        <v>60</v>
      </c>
      <c r="E8" s="1">
        <f>SUM(B8:D8)</f>
        <v>150</v>
      </c>
    </row>
    <row r="9" spans="1:5" x14ac:dyDescent="0.2">
      <c r="A9" s="2" t="s">
        <v>11</v>
      </c>
      <c r="B9" s="1">
        <v>40</v>
      </c>
      <c r="C9" s="1">
        <v>50</v>
      </c>
      <c r="D9" s="1">
        <v>60</v>
      </c>
      <c r="E9" s="1">
        <f>SUM(B9:D9)</f>
        <v>150</v>
      </c>
    </row>
    <row r="10" spans="1:5" x14ac:dyDescent="0.2">
      <c r="A10" s="2" t="s">
        <v>12</v>
      </c>
      <c r="B10" s="1">
        <v>40</v>
      </c>
      <c r="C10" s="1">
        <v>50</v>
      </c>
      <c r="D10" s="1">
        <v>60</v>
      </c>
      <c r="E10" s="1">
        <f>SUM(B10:D10)</f>
        <v>150</v>
      </c>
    </row>
    <row r="11" spans="1:5" x14ac:dyDescent="0.2">
      <c r="A11" s="2" t="s">
        <v>6</v>
      </c>
      <c r="B11" s="1">
        <f>SUM(B5:B10)</f>
        <v>240</v>
      </c>
      <c r="C11" s="1">
        <f>SUM(C5:C10)</f>
        <v>300</v>
      </c>
      <c r="D11" s="1">
        <f>SUM(D5:D10)</f>
        <v>360</v>
      </c>
      <c r="E11" s="1">
        <f>SUM(B11:D11)</f>
        <v>900</v>
      </c>
    </row>
  </sheetData>
  <mergeCells count="2">
    <mergeCell ref="A1:E1"/>
    <mergeCell ref="A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F0E-65E5-B841-984D-15B3F14C6EBA}">
  <dimension ref="A1:E11"/>
  <sheetViews>
    <sheetView zoomScale="181" zoomScaleNormal="363" workbookViewId="0">
      <selection activeCell="C16" sqref="C16"/>
    </sheetView>
  </sheetViews>
  <sheetFormatPr baseColWidth="10" defaultRowHeight="16" x14ac:dyDescent="0.2"/>
  <cols>
    <col min="1" max="1" width="12" customWidth="1"/>
  </cols>
  <sheetData>
    <row r="1" spans="1:5" ht="22" x14ac:dyDescent="0.3">
      <c r="A1" s="4" t="s">
        <v>0</v>
      </c>
      <c r="B1" s="4"/>
      <c r="C1" s="4"/>
      <c r="D1" s="4"/>
      <c r="E1" s="4"/>
    </row>
    <row r="2" spans="1:5" x14ac:dyDescent="0.2">
      <c r="A2" s="3" t="s">
        <v>1</v>
      </c>
      <c r="B2" s="3"/>
      <c r="C2" s="3"/>
      <c r="D2" s="3"/>
      <c r="E2" s="3"/>
    </row>
    <row r="4" spans="1: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">
      <c r="A5" s="2" t="s">
        <v>7</v>
      </c>
      <c r="B5" s="1">
        <v>70</v>
      </c>
      <c r="C5" s="1">
        <v>80</v>
      </c>
      <c r="D5" s="1">
        <v>90</v>
      </c>
      <c r="E5" s="1">
        <f>SUM(B5:D5)</f>
        <v>240</v>
      </c>
    </row>
    <row r="6" spans="1:5" x14ac:dyDescent="0.2">
      <c r="A6" s="2" t="s">
        <v>8</v>
      </c>
      <c r="B6" s="1">
        <v>70</v>
      </c>
      <c r="C6" s="1">
        <v>80</v>
      </c>
      <c r="D6" s="1">
        <v>90</v>
      </c>
      <c r="E6" s="1">
        <f>SUM(B6:D6)</f>
        <v>240</v>
      </c>
    </row>
    <row r="7" spans="1:5" x14ac:dyDescent="0.2">
      <c r="A7" s="2" t="s">
        <v>9</v>
      </c>
      <c r="B7" s="1">
        <v>70</v>
      </c>
      <c r="C7" s="1">
        <v>80</v>
      </c>
      <c r="D7" s="1">
        <v>90</v>
      </c>
      <c r="E7" s="1">
        <f>SUM(B7:D7)</f>
        <v>240</v>
      </c>
    </row>
    <row r="8" spans="1:5" x14ac:dyDescent="0.2">
      <c r="A8" s="2" t="s">
        <v>10</v>
      </c>
      <c r="B8" s="1">
        <v>70</v>
      </c>
      <c r="C8" s="1">
        <v>80</v>
      </c>
      <c r="D8" s="1">
        <v>90</v>
      </c>
      <c r="E8" s="1">
        <f>SUM(B8:D8)</f>
        <v>240</v>
      </c>
    </row>
    <row r="9" spans="1:5" x14ac:dyDescent="0.2">
      <c r="A9" s="2" t="s">
        <v>11</v>
      </c>
      <c r="B9" s="1">
        <v>70</v>
      </c>
      <c r="C9" s="1">
        <v>80</v>
      </c>
      <c r="D9" s="1">
        <v>90</v>
      </c>
      <c r="E9" s="1">
        <f>SUM(B9:D9)</f>
        <v>240</v>
      </c>
    </row>
    <row r="10" spans="1:5" x14ac:dyDescent="0.2">
      <c r="A10" s="2" t="s">
        <v>12</v>
      </c>
      <c r="B10" s="1">
        <v>70</v>
      </c>
      <c r="C10" s="1">
        <v>80</v>
      </c>
      <c r="D10" s="1">
        <v>90</v>
      </c>
      <c r="E10" s="1">
        <f>SUM(B10:D10)</f>
        <v>240</v>
      </c>
    </row>
    <row r="11" spans="1:5" x14ac:dyDescent="0.2">
      <c r="A11" s="2" t="s">
        <v>6</v>
      </c>
      <c r="B11" s="1">
        <f>SUM(B5:B10)</f>
        <v>420</v>
      </c>
      <c r="C11" s="1">
        <f>SUM(C5:C10)</f>
        <v>480</v>
      </c>
      <c r="D11" s="1">
        <f>SUM(D5:D10)</f>
        <v>540</v>
      </c>
      <c r="E11" s="1">
        <f>SUM(B11:D11)</f>
        <v>1440</v>
      </c>
    </row>
  </sheetData>
  <mergeCells count="2">
    <mergeCell ref="A1:E1"/>
    <mergeCell ref="A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5C45-AA45-DE40-B8DD-3ABBE367A210}">
  <dimension ref="A1:E29"/>
  <sheetViews>
    <sheetView topLeftCell="A3" zoomScale="176" workbookViewId="0">
      <selection activeCell="C28" sqref="C28"/>
    </sheetView>
  </sheetViews>
  <sheetFormatPr baseColWidth="10" defaultRowHeight="16" x14ac:dyDescent="0.2"/>
  <cols>
    <col min="1" max="1" width="13.1640625" customWidth="1"/>
  </cols>
  <sheetData>
    <row r="1" spans="1:5" x14ac:dyDescent="0.2">
      <c r="A1" s="3" t="s">
        <v>13</v>
      </c>
      <c r="B1" s="3"/>
      <c r="C1" s="3"/>
    </row>
    <row r="2" spans="1:5" x14ac:dyDescent="0.2">
      <c r="A2" s="3" t="s">
        <v>1</v>
      </c>
      <c r="B2" s="3"/>
      <c r="C2" s="3"/>
    </row>
    <row r="4" spans="1:5" x14ac:dyDescent="0.2">
      <c r="A4" s="2" t="s">
        <v>2</v>
      </c>
      <c r="B4" s="2" t="s">
        <v>6</v>
      </c>
    </row>
    <row r="5" spans="1:5" x14ac:dyDescent="0.2">
      <c r="A5" s="2" t="s">
        <v>7</v>
      </c>
      <c r="B5" s="5">
        <f>YUCATAN!E5+CAMPECHE!E5+QROO!E5</f>
        <v>1440</v>
      </c>
    </row>
    <row r="6" spans="1:5" x14ac:dyDescent="0.2">
      <c r="A6" s="2" t="s">
        <v>8</v>
      </c>
      <c r="B6" s="5">
        <f>YUCATAN!E6+CAMPECHE!E6+QROO!E6</f>
        <v>450</v>
      </c>
    </row>
    <row r="7" spans="1:5" x14ac:dyDescent="0.2">
      <c r="A7" s="2" t="s">
        <v>9</v>
      </c>
      <c r="B7" s="5">
        <f>YUCATAN!E7+CAMPECHE!E7+QROO!E7</f>
        <v>450</v>
      </c>
    </row>
    <row r="8" spans="1:5" x14ac:dyDescent="0.2">
      <c r="A8" s="2" t="s">
        <v>10</v>
      </c>
      <c r="B8" s="5">
        <f>YUCATAN!E8+CAMPECHE!E8+QROO!E8</f>
        <v>450</v>
      </c>
    </row>
    <row r="9" spans="1:5" x14ac:dyDescent="0.2">
      <c r="A9" s="2" t="s">
        <v>11</v>
      </c>
      <c r="B9" s="5">
        <f>YUCATAN!E9+CAMPECHE!E9+QROO!E9</f>
        <v>450</v>
      </c>
    </row>
    <row r="10" spans="1:5" x14ac:dyDescent="0.2">
      <c r="A10" s="2" t="s">
        <v>12</v>
      </c>
      <c r="B10" s="5">
        <f>YUCATAN!E10+CAMPECHE!E10+QROO!E10</f>
        <v>450</v>
      </c>
    </row>
    <row r="11" spans="1:5" x14ac:dyDescent="0.2">
      <c r="A11" s="2" t="s">
        <v>6</v>
      </c>
      <c r="B11" s="5">
        <f>YUCATAN!E11+CAMPECHE!E11+QROO!E11</f>
        <v>3690</v>
      </c>
    </row>
    <row r="13" spans="1:5" x14ac:dyDescent="0.2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</row>
    <row r="14" spans="1:5" x14ac:dyDescent="0.2">
      <c r="A14" s="2" t="s">
        <v>7</v>
      </c>
      <c r="B14" s="5">
        <f>YUCATAN!B5+CAMPECHE!B5+QROO!B5</f>
        <v>1110</v>
      </c>
      <c r="C14" s="5">
        <f>YUCATAN!C5+CAMPECHE!C5+QROO!C5</f>
        <v>150</v>
      </c>
      <c r="D14" s="5">
        <f>YUCATAN!D5+CAMPECHE!D5+QROO!D5</f>
        <v>180</v>
      </c>
      <c r="E14" s="5">
        <f>SUM(B14:D14)</f>
        <v>1440</v>
      </c>
    </row>
    <row r="15" spans="1:5" x14ac:dyDescent="0.2">
      <c r="A15" s="2" t="s">
        <v>8</v>
      </c>
      <c r="B15" s="5">
        <f>YUCATAN!B6+CAMPECHE!B6+QROO!B6</f>
        <v>120</v>
      </c>
      <c r="C15" s="5">
        <f>YUCATAN!C6+CAMPECHE!C6+QROO!C6</f>
        <v>150</v>
      </c>
      <c r="D15" s="5">
        <f>YUCATAN!D6+CAMPECHE!D6+QROO!D6</f>
        <v>180</v>
      </c>
      <c r="E15" s="5">
        <f>SUM(B15:D15)</f>
        <v>450</v>
      </c>
    </row>
    <row r="16" spans="1:5" x14ac:dyDescent="0.2">
      <c r="A16" s="2" t="s">
        <v>9</v>
      </c>
      <c r="B16" s="5">
        <f>YUCATAN!B7+CAMPECHE!B7+QROO!B7</f>
        <v>120</v>
      </c>
      <c r="C16" s="5">
        <f>YUCATAN!C7+CAMPECHE!C7+QROO!C7</f>
        <v>150</v>
      </c>
      <c r="D16" s="5">
        <f>YUCATAN!D7+CAMPECHE!D7+QROO!D7</f>
        <v>180</v>
      </c>
      <c r="E16" s="5">
        <f>SUM(B16:D16)</f>
        <v>450</v>
      </c>
    </row>
    <row r="17" spans="1:5" x14ac:dyDescent="0.2">
      <c r="A17" s="2" t="s">
        <v>10</v>
      </c>
      <c r="B17" s="5">
        <f>YUCATAN!B8+CAMPECHE!B8+QROO!B8</f>
        <v>120</v>
      </c>
      <c r="C17" s="5">
        <f>YUCATAN!C8+CAMPECHE!C8+QROO!C8</f>
        <v>150</v>
      </c>
      <c r="D17" s="5">
        <f>YUCATAN!D8+CAMPECHE!D8+QROO!D8</f>
        <v>180</v>
      </c>
      <c r="E17" s="5">
        <f>SUM(B17:D17)</f>
        <v>450</v>
      </c>
    </row>
    <row r="18" spans="1:5" x14ac:dyDescent="0.2">
      <c r="A18" s="2" t="s">
        <v>11</v>
      </c>
      <c r="B18" s="5">
        <f>YUCATAN!B9+CAMPECHE!B9+QROO!B9</f>
        <v>120</v>
      </c>
      <c r="C18" s="5">
        <f>YUCATAN!C9+CAMPECHE!C9+QROO!C9</f>
        <v>150</v>
      </c>
      <c r="D18" s="5">
        <f>YUCATAN!D9+CAMPECHE!D9+QROO!D9</f>
        <v>180</v>
      </c>
      <c r="E18" s="5">
        <f>SUM(B18:D18)</f>
        <v>450</v>
      </c>
    </row>
    <row r="19" spans="1:5" x14ac:dyDescent="0.2">
      <c r="A19" s="2" t="s">
        <v>12</v>
      </c>
      <c r="B19" s="5">
        <f>YUCATAN!B10+CAMPECHE!B10+QROO!B10</f>
        <v>120</v>
      </c>
      <c r="C19" s="5">
        <f>YUCATAN!C10+CAMPECHE!C10+QROO!C10</f>
        <v>150</v>
      </c>
      <c r="D19" s="5">
        <f>YUCATAN!D10+CAMPECHE!D10+QROO!D10</f>
        <v>180</v>
      </c>
      <c r="E19" s="5">
        <f>SUM(B19:D19)</f>
        <v>450</v>
      </c>
    </row>
    <row r="20" spans="1:5" x14ac:dyDescent="0.2">
      <c r="A20" s="2" t="s">
        <v>6</v>
      </c>
      <c r="B20" s="5">
        <f>SUM(B14:B19)</f>
        <v>1710</v>
      </c>
      <c r="C20" s="5">
        <f>SUM(C14:C19)</f>
        <v>900</v>
      </c>
      <c r="D20" s="5">
        <f>SUM(D14:D19)</f>
        <v>1080</v>
      </c>
      <c r="E20" s="5">
        <f>SUM(B20:D20)</f>
        <v>3690</v>
      </c>
    </row>
    <row r="22" spans="1:5" x14ac:dyDescent="0.2">
      <c r="A22" s="2" t="s">
        <v>2</v>
      </c>
      <c r="B22" s="2" t="s">
        <v>6</v>
      </c>
    </row>
    <row r="23" spans="1:5" x14ac:dyDescent="0.2">
      <c r="A23" s="2" t="s">
        <v>7</v>
      </c>
      <c r="B23" s="5">
        <f>SUM(YUCATAN:QROO!E5)</f>
        <v>1440</v>
      </c>
    </row>
    <row r="24" spans="1:5" x14ac:dyDescent="0.2">
      <c r="A24" s="2" t="s">
        <v>8</v>
      </c>
      <c r="B24" s="5">
        <f>SUM(YUCATAN:QROO!E6)</f>
        <v>450</v>
      </c>
    </row>
    <row r="25" spans="1:5" x14ac:dyDescent="0.2">
      <c r="A25" s="2" t="s">
        <v>9</v>
      </c>
      <c r="B25" s="5">
        <f>SUM(YUCATAN:QROO!E7)</f>
        <v>450</v>
      </c>
    </row>
    <row r="26" spans="1:5" x14ac:dyDescent="0.2">
      <c r="A26" s="2" t="s">
        <v>10</v>
      </c>
      <c r="B26" s="5">
        <f>SUM(YUCATAN:QROO!E8)</f>
        <v>450</v>
      </c>
    </row>
    <row r="27" spans="1:5" x14ac:dyDescent="0.2">
      <c r="A27" s="2" t="s">
        <v>11</v>
      </c>
      <c r="B27" s="5">
        <f>SUM(YUCATAN:QROO!E9)</f>
        <v>450</v>
      </c>
    </row>
    <row r="28" spans="1:5" x14ac:dyDescent="0.2">
      <c r="A28" s="2" t="s">
        <v>12</v>
      </c>
      <c r="B28" s="5">
        <f>SUM(YUCATAN:QROO!E10)</f>
        <v>450</v>
      </c>
    </row>
    <row r="29" spans="1:5" x14ac:dyDescent="0.2">
      <c r="A29" s="2" t="s">
        <v>6</v>
      </c>
      <c r="B29" s="5">
        <f>SUM(YUCATAN:QROO!E11)</f>
        <v>3690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07FB-0F04-AD47-A707-A0B290121A37}">
  <dimension ref="A4:F42"/>
  <sheetViews>
    <sheetView tabSelected="1" zoomScale="150" workbookViewId="0">
      <selection activeCell="H22" sqref="H22"/>
    </sheetView>
  </sheetViews>
  <sheetFormatPr baseColWidth="10" defaultRowHeight="16" outlineLevelRow="1" x14ac:dyDescent="0.2"/>
  <cols>
    <col min="1" max="1" width="3.33203125" customWidth="1"/>
    <col min="2" max="2" width="7.5" customWidth="1"/>
  </cols>
  <sheetData>
    <row r="4" spans="1:6" x14ac:dyDescent="0.2">
      <c r="A4" t="s">
        <v>2</v>
      </c>
      <c r="C4" t="s">
        <v>3</v>
      </c>
      <c r="D4" t="s">
        <v>4</v>
      </c>
      <c r="E4" t="s">
        <v>5</v>
      </c>
      <c r="F4" t="s">
        <v>6</v>
      </c>
    </row>
    <row r="5" spans="1:6" x14ac:dyDescent="0.2">
      <c r="A5" t="s">
        <v>7</v>
      </c>
      <c r="C5">
        <v>1110</v>
      </c>
      <c r="D5">
        <v>150</v>
      </c>
      <c r="E5">
        <v>180</v>
      </c>
      <c r="F5">
        <v>1440</v>
      </c>
    </row>
    <row r="6" spans="1:6" x14ac:dyDescent="0.2">
      <c r="A6" t="s">
        <v>8</v>
      </c>
      <c r="C6">
        <v>120</v>
      </c>
      <c r="D6">
        <v>150</v>
      </c>
      <c r="E6">
        <v>180</v>
      </c>
      <c r="F6">
        <v>450</v>
      </c>
    </row>
    <row r="7" spans="1:6" x14ac:dyDescent="0.2">
      <c r="A7" t="s">
        <v>9</v>
      </c>
      <c r="C7">
        <v>120</v>
      </c>
      <c r="D7">
        <v>150</v>
      </c>
      <c r="E7">
        <v>180</v>
      </c>
      <c r="F7">
        <v>450</v>
      </c>
    </row>
    <row r="8" spans="1:6" x14ac:dyDescent="0.2">
      <c r="A8" t="s">
        <v>10</v>
      </c>
      <c r="C8">
        <v>120</v>
      </c>
      <c r="D8">
        <v>150</v>
      </c>
      <c r="E8">
        <v>180</v>
      </c>
      <c r="F8">
        <v>450</v>
      </c>
    </row>
    <row r="9" spans="1:6" x14ac:dyDescent="0.2">
      <c r="A9" t="s">
        <v>11</v>
      </c>
      <c r="C9">
        <v>120</v>
      </c>
      <c r="D9">
        <v>150</v>
      </c>
      <c r="E9">
        <v>180</v>
      </c>
      <c r="F9">
        <v>450</v>
      </c>
    </row>
    <row r="10" spans="1:6" x14ac:dyDescent="0.2">
      <c r="A10" t="s">
        <v>12</v>
      </c>
      <c r="C10">
        <v>120</v>
      </c>
      <c r="D10">
        <v>150</v>
      </c>
      <c r="E10">
        <v>180</v>
      </c>
      <c r="F10">
        <v>450</v>
      </c>
    </row>
    <row r="11" spans="1:6" x14ac:dyDescent="0.2">
      <c r="A11" t="s">
        <v>6</v>
      </c>
      <c r="C11">
        <v>1710</v>
      </c>
      <c r="D11">
        <v>900</v>
      </c>
      <c r="E11">
        <v>1080</v>
      </c>
      <c r="F11">
        <v>3690</v>
      </c>
    </row>
    <row r="14" spans="1:6" x14ac:dyDescent="0.2">
      <c r="C14" t="s">
        <v>3</v>
      </c>
      <c r="D14" t="s">
        <v>4</v>
      </c>
      <c r="E14" t="s">
        <v>5</v>
      </c>
      <c r="F14" t="s">
        <v>6</v>
      </c>
    </row>
    <row r="15" spans="1:6" hidden="1" outlineLevel="1" x14ac:dyDescent="0.2">
      <c r="B15" t="s">
        <v>14</v>
      </c>
      <c r="C15">
        <f>CAMPECHE!$B$5</f>
        <v>40</v>
      </c>
      <c r="D15">
        <f>CAMPECHE!$C$5</f>
        <v>50</v>
      </c>
      <c r="E15">
        <f>CAMPECHE!$D$5</f>
        <v>60</v>
      </c>
      <c r="F15">
        <f>CAMPECHE!$E$5</f>
        <v>150</v>
      </c>
    </row>
    <row r="16" spans="1:6" hidden="1" outlineLevel="1" collapsed="1" x14ac:dyDescent="0.2">
      <c r="B16" t="s">
        <v>14</v>
      </c>
      <c r="C16">
        <f>QROO!$B$5</f>
        <v>70</v>
      </c>
      <c r="D16">
        <f>QROO!$C$5</f>
        <v>80</v>
      </c>
      <c r="E16">
        <f>QROO!$D$5</f>
        <v>90</v>
      </c>
      <c r="F16">
        <f>QROO!$E$5</f>
        <v>240</v>
      </c>
    </row>
    <row r="17" spans="1:6" hidden="1" outlineLevel="1" collapsed="1" x14ac:dyDescent="0.2">
      <c r="B17" t="s">
        <v>14</v>
      </c>
      <c r="C17">
        <f>YUCATAN!$B$5</f>
        <v>1000</v>
      </c>
      <c r="D17">
        <f>YUCATAN!$C$5</f>
        <v>20</v>
      </c>
      <c r="E17">
        <f>YUCATAN!$D$5</f>
        <v>30</v>
      </c>
      <c r="F17">
        <f>YUCATAN!$E$5</f>
        <v>1050</v>
      </c>
    </row>
    <row r="18" spans="1:6" collapsed="1" x14ac:dyDescent="0.2">
      <c r="A18" t="s">
        <v>7</v>
      </c>
      <c r="C18">
        <f>SUM(C15:C17)</f>
        <v>1110</v>
      </c>
      <c r="D18">
        <f>SUM(D15:D17)</f>
        <v>150</v>
      </c>
      <c r="E18">
        <f>SUM(E15:E17)</f>
        <v>180</v>
      </c>
      <c r="F18">
        <f>SUM(F15:F17)</f>
        <v>1440</v>
      </c>
    </row>
    <row r="19" spans="1:6" hidden="1" outlineLevel="1" x14ac:dyDescent="0.2">
      <c r="B19" t="s">
        <v>14</v>
      </c>
      <c r="C19">
        <f>CAMPECHE!$B$6</f>
        <v>40</v>
      </c>
      <c r="D19">
        <f>CAMPECHE!$C$6</f>
        <v>50</v>
      </c>
      <c r="E19">
        <f>CAMPECHE!$D$6</f>
        <v>60</v>
      </c>
      <c r="F19">
        <f>CAMPECHE!$E$6</f>
        <v>150</v>
      </c>
    </row>
    <row r="20" spans="1:6" hidden="1" outlineLevel="1" collapsed="1" x14ac:dyDescent="0.2">
      <c r="B20" t="s">
        <v>14</v>
      </c>
      <c r="C20">
        <f>QROO!$B$6</f>
        <v>70</v>
      </c>
      <c r="D20">
        <f>QROO!$C$6</f>
        <v>80</v>
      </c>
      <c r="E20">
        <f>QROO!$D$6</f>
        <v>90</v>
      </c>
      <c r="F20">
        <f>QROO!$E$6</f>
        <v>240</v>
      </c>
    </row>
    <row r="21" spans="1:6" hidden="1" outlineLevel="1" collapsed="1" x14ac:dyDescent="0.2">
      <c r="B21" t="s">
        <v>14</v>
      </c>
      <c r="C21">
        <f>YUCATAN!$B$6</f>
        <v>10</v>
      </c>
      <c r="D21">
        <f>YUCATAN!$C$6</f>
        <v>20</v>
      </c>
      <c r="E21">
        <f>YUCATAN!$D$6</f>
        <v>30</v>
      </c>
      <c r="F21">
        <f>YUCATAN!$E$6</f>
        <v>60</v>
      </c>
    </row>
    <row r="22" spans="1:6" collapsed="1" x14ac:dyDescent="0.2">
      <c r="A22" t="s">
        <v>8</v>
      </c>
      <c r="C22">
        <f>SUM(C19:C21)</f>
        <v>120</v>
      </c>
      <c r="D22">
        <f>SUM(D19:D21)</f>
        <v>150</v>
      </c>
      <c r="E22">
        <f>SUM(E19:E21)</f>
        <v>180</v>
      </c>
      <c r="F22">
        <f>SUM(F19:F21)</f>
        <v>450</v>
      </c>
    </row>
    <row r="23" spans="1:6" hidden="1" outlineLevel="1" x14ac:dyDescent="0.2">
      <c r="B23" t="s">
        <v>14</v>
      </c>
      <c r="C23">
        <f>CAMPECHE!$B$7</f>
        <v>40</v>
      </c>
      <c r="D23">
        <f>CAMPECHE!$C$7</f>
        <v>50</v>
      </c>
      <c r="E23">
        <f>CAMPECHE!$D$7</f>
        <v>60</v>
      </c>
      <c r="F23">
        <f>CAMPECHE!$E$7</f>
        <v>150</v>
      </c>
    </row>
    <row r="24" spans="1:6" hidden="1" outlineLevel="1" collapsed="1" x14ac:dyDescent="0.2">
      <c r="B24" t="s">
        <v>14</v>
      </c>
      <c r="C24">
        <f>QROO!$B$7</f>
        <v>70</v>
      </c>
      <c r="D24">
        <f>QROO!$C$7</f>
        <v>80</v>
      </c>
      <c r="E24">
        <f>QROO!$D$7</f>
        <v>90</v>
      </c>
      <c r="F24">
        <f>QROO!$E$7</f>
        <v>240</v>
      </c>
    </row>
    <row r="25" spans="1:6" hidden="1" outlineLevel="1" collapsed="1" x14ac:dyDescent="0.2">
      <c r="B25" t="s">
        <v>14</v>
      </c>
      <c r="C25">
        <f>YUCATAN!$B$7</f>
        <v>10</v>
      </c>
      <c r="D25">
        <f>YUCATAN!$C$7</f>
        <v>20</v>
      </c>
      <c r="E25">
        <f>YUCATAN!$D$7</f>
        <v>30</v>
      </c>
      <c r="F25">
        <f>YUCATAN!$E$7</f>
        <v>60</v>
      </c>
    </row>
    <row r="26" spans="1:6" collapsed="1" x14ac:dyDescent="0.2">
      <c r="A26" t="s">
        <v>9</v>
      </c>
      <c r="C26">
        <f>SUM(C23:C25)</f>
        <v>120</v>
      </c>
      <c r="D26">
        <f>SUM(D23:D25)</f>
        <v>150</v>
      </c>
      <c r="E26">
        <f>SUM(E23:E25)</f>
        <v>180</v>
      </c>
      <c r="F26">
        <f>SUM(F23:F25)</f>
        <v>450</v>
      </c>
    </row>
    <row r="27" spans="1:6" hidden="1" outlineLevel="1" x14ac:dyDescent="0.2">
      <c r="B27" t="s">
        <v>14</v>
      </c>
      <c r="C27">
        <f>CAMPECHE!$B$8</f>
        <v>40</v>
      </c>
      <c r="D27">
        <f>CAMPECHE!$C$8</f>
        <v>50</v>
      </c>
      <c r="E27">
        <f>CAMPECHE!$D$8</f>
        <v>60</v>
      </c>
      <c r="F27">
        <f>CAMPECHE!$E$8</f>
        <v>150</v>
      </c>
    </row>
    <row r="28" spans="1:6" hidden="1" outlineLevel="1" collapsed="1" x14ac:dyDescent="0.2">
      <c r="B28" t="s">
        <v>14</v>
      </c>
      <c r="C28">
        <f>QROO!$B$8</f>
        <v>70</v>
      </c>
      <c r="D28">
        <f>QROO!$C$8</f>
        <v>80</v>
      </c>
      <c r="E28">
        <f>QROO!$D$8</f>
        <v>90</v>
      </c>
      <c r="F28">
        <f>QROO!$E$8</f>
        <v>240</v>
      </c>
    </row>
    <row r="29" spans="1:6" hidden="1" outlineLevel="1" collapsed="1" x14ac:dyDescent="0.2">
      <c r="B29" t="s">
        <v>14</v>
      </c>
      <c r="C29">
        <f>YUCATAN!$B$8</f>
        <v>10</v>
      </c>
      <c r="D29">
        <f>YUCATAN!$C$8</f>
        <v>20</v>
      </c>
      <c r="E29">
        <f>YUCATAN!$D$8</f>
        <v>30</v>
      </c>
      <c r="F29">
        <f>YUCATAN!$E$8</f>
        <v>60</v>
      </c>
    </row>
    <row r="30" spans="1:6" collapsed="1" x14ac:dyDescent="0.2">
      <c r="A30" t="s">
        <v>10</v>
      </c>
      <c r="C30">
        <f>SUM(C27:C29)</f>
        <v>120</v>
      </c>
      <c r="D30">
        <f>SUM(D27:D29)</f>
        <v>150</v>
      </c>
      <c r="E30">
        <f>SUM(E27:E29)</f>
        <v>180</v>
      </c>
      <c r="F30">
        <f>SUM(F27:F29)</f>
        <v>450</v>
      </c>
    </row>
    <row r="31" spans="1:6" hidden="1" outlineLevel="1" x14ac:dyDescent="0.2">
      <c r="B31" t="s">
        <v>14</v>
      </c>
      <c r="C31">
        <f>CAMPECHE!$B$9</f>
        <v>40</v>
      </c>
      <c r="D31">
        <f>CAMPECHE!$C$9</f>
        <v>50</v>
      </c>
      <c r="E31">
        <f>CAMPECHE!$D$9</f>
        <v>60</v>
      </c>
      <c r="F31">
        <f>CAMPECHE!$E$9</f>
        <v>150</v>
      </c>
    </row>
    <row r="32" spans="1:6" hidden="1" outlineLevel="1" collapsed="1" x14ac:dyDescent="0.2">
      <c r="B32" t="s">
        <v>14</v>
      </c>
      <c r="C32">
        <f>QROO!$B$9</f>
        <v>70</v>
      </c>
      <c r="D32">
        <f>QROO!$C$9</f>
        <v>80</v>
      </c>
      <c r="E32">
        <f>QROO!$D$9</f>
        <v>90</v>
      </c>
      <c r="F32">
        <f>QROO!$E$9</f>
        <v>240</v>
      </c>
    </row>
    <row r="33" spans="1:6" hidden="1" outlineLevel="1" collapsed="1" x14ac:dyDescent="0.2">
      <c r="B33" t="s">
        <v>14</v>
      </c>
      <c r="C33">
        <f>YUCATAN!$B$9</f>
        <v>10</v>
      </c>
      <c r="D33">
        <f>YUCATAN!$C$9</f>
        <v>20</v>
      </c>
      <c r="E33">
        <f>YUCATAN!$D$9</f>
        <v>30</v>
      </c>
      <c r="F33">
        <f>YUCATAN!$E$9</f>
        <v>60</v>
      </c>
    </row>
    <row r="34" spans="1:6" collapsed="1" x14ac:dyDescent="0.2">
      <c r="A34" t="s">
        <v>11</v>
      </c>
      <c r="C34">
        <f>SUM(C31:C33)</f>
        <v>120</v>
      </c>
      <c r="D34">
        <f>SUM(D31:D33)</f>
        <v>150</v>
      </c>
      <c r="E34">
        <f>SUM(E31:E33)</f>
        <v>180</v>
      </c>
      <c r="F34">
        <f>SUM(F31:F33)</f>
        <v>450</v>
      </c>
    </row>
    <row r="35" spans="1:6" hidden="1" outlineLevel="1" x14ac:dyDescent="0.2">
      <c r="B35" t="s">
        <v>14</v>
      </c>
      <c r="C35">
        <f>CAMPECHE!$B$10</f>
        <v>40</v>
      </c>
      <c r="D35">
        <f>CAMPECHE!$C$10</f>
        <v>50</v>
      </c>
      <c r="E35">
        <f>CAMPECHE!$D$10</f>
        <v>60</v>
      </c>
      <c r="F35">
        <f>CAMPECHE!$E$10</f>
        <v>150</v>
      </c>
    </row>
    <row r="36" spans="1:6" hidden="1" outlineLevel="1" collapsed="1" x14ac:dyDescent="0.2">
      <c r="B36" t="s">
        <v>14</v>
      </c>
      <c r="C36">
        <f>QROO!$B$10</f>
        <v>70</v>
      </c>
      <c r="D36">
        <f>QROO!$C$10</f>
        <v>80</v>
      </c>
      <c r="E36">
        <f>QROO!$D$10</f>
        <v>90</v>
      </c>
      <c r="F36">
        <f>QROO!$E$10</f>
        <v>240</v>
      </c>
    </row>
    <row r="37" spans="1:6" hidden="1" outlineLevel="1" collapsed="1" x14ac:dyDescent="0.2">
      <c r="B37" t="s">
        <v>14</v>
      </c>
      <c r="C37">
        <f>YUCATAN!$B$10</f>
        <v>10</v>
      </c>
      <c r="D37">
        <f>YUCATAN!$C$10</f>
        <v>20</v>
      </c>
      <c r="E37">
        <f>YUCATAN!$D$10</f>
        <v>30</v>
      </c>
      <c r="F37">
        <f>YUCATAN!$E$10</f>
        <v>60</v>
      </c>
    </row>
    <row r="38" spans="1:6" collapsed="1" x14ac:dyDescent="0.2">
      <c r="A38" t="s">
        <v>12</v>
      </c>
      <c r="C38">
        <f>SUM(C35:C37)</f>
        <v>120</v>
      </c>
      <c r="D38">
        <f>SUM(D35:D37)</f>
        <v>150</v>
      </c>
      <c r="E38">
        <f>SUM(E35:E37)</f>
        <v>180</v>
      </c>
      <c r="F38">
        <f>SUM(F35:F37)</f>
        <v>450</v>
      </c>
    </row>
    <row r="39" spans="1:6" hidden="1" outlineLevel="1" x14ac:dyDescent="0.2">
      <c r="B39" t="s">
        <v>14</v>
      </c>
      <c r="C39">
        <f>CAMPECHE!$B$11</f>
        <v>240</v>
      </c>
      <c r="D39">
        <f>CAMPECHE!$C$11</f>
        <v>300</v>
      </c>
      <c r="E39">
        <f>CAMPECHE!$D$11</f>
        <v>360</v>
      </c>
      <c r="F39">
        <f>CAMPECHE!$E$11</f>
        <v>900</v>
      </c>
    </row>
    <row r="40" spans="1:6" hidden="1" outlineLevel="1" collapsed="1" x14ac:dyDescent="0.2">
      <c r="B40" t="s">
        <v>14</v>
      </c>
      <c r="C40">
        <f>QROO!$B$11</f>
        <v>420</v>
      </c>
      <c r="D40">
        <f>QROO!$C$11</f>
        <v>480</v>
      </c>
      <c r="E40">
        <f>QROO!$D$11</f>
        <v>540</v>
      </c>
      <c r="F40">
        <f>QROO!$E$11</f>
        <v>1440</v>
      </c>
    </row>
    <row r="41" spans="1:6" hidden="1" outlineLevel="1" collapsed="1" x14ac:dyDescent="0.2">
      <c r="B41" t="s">
        <v>14</v>
      </c>
      <c r="C41">
        <f>YUCATAN!$B$11</f>
        <v>1050</v>
      </c>
      <c r="D41">
        <f>YUCATAN!$C$11</f>
        <v>120</v>
      </c>
      <c r="E41">
        <f>YUCATAN!$D$11</f>
        <v>180</v>
      </c>
      <c r="F41">
        <f>YUCATAN!$E$11</f>
        <v>1350</v>
      </c>
    </row>
    <row r="42" spans="1:6" collapsed="1" x14ac:dyDescent="0.2">
      <c r="A42" t="s">
        <v>6</v>
      </c>
      <c r="C42">
        <f>SUM(C39:C41)</f>
        <v>1710</v>
      </c>
      <c r="D42">
        <f>SUM(D39:D41)</f>
        <v>900</v>
      </c>
      <c r="E42">
        <f>SUM(E39:E41)</f>
        <v>1080</v>
      </c>
      <c r="F42">
        <f>SUM(F39:F41)</f>
        <v>3690</v>
      </c>
    </row>
  </sheetData>
  <dataConsolidate leftLabels="1" topLabels="1" link="1">
    <dataRefs count="3">
      <dataRef ref="A4:E11" sheet="CAMPECHE"/>
      <dataRef ref="A4:E11" sheet="QROO"/>
      <dataRef ref="A4:E11" sheet="YUCATAN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YUCATAN</vt:lpstr>
      <vt:lpstr>CAMPECHE</vt:lpstr>
      <vt:lpstr>QROO</vt:lpstr>
      <vt:lpstr>CONCENTRADO</vt:lpstr>
      <vt:lpstr>SUBTOTALES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De la vega jimenez</dc:creator>
  <cp:lastModifiedBy>joshua De la vega jimenez</cp:lastModifiedBy>
  <dcterms:created xsi:type="dcterms:W3CDTF">2026-03-11T19:10:08Z</dcterms:created>
  <dcterms:modified xsi:type="dcterms:W3CDTF">2026-03-11T19:41:03Z</dcterms:modified>
</cp:coreProperties>
</file>